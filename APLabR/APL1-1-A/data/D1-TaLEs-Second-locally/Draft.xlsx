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\Desktop\D1-TaLEs-Second\"/>
    </mc:Choice>
  </mc:AlternateContent>
  <bookViews>
    <workbookView xWindow="0" yWindow="0" windowWidth="28800" windowHeight="115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C18" i="1"/>
  <c r="E4" i="1"/>
  <c r="I4" i="1"/>
  <c r="F4" i="1"/>
  <c r="D4" i="1"/>
  <c r="I3" i="1"/>
  <c r="F3" i="1"/>
  <c r="E3" i="1"/>
  <c r="E2" i="1"/>
  <c r="D3" i="1"/>
  <c r="H2" i="1"/>
  <c r="J2" i="1"/>
  <c r="K2" i="1" s="1"/>
  <c r="F2" i="1"/>
  <c r="D2" i="1"/>
  <c r="I2" i="1" l="1"/>
</calcChain>
</file>

<file path=xl/sharedStrings.xml><?xml version="1.0" encoding="utf-8"?>
<sst xmlns="http://schemas.openxmlformats.org/spreadsheetml/2006/main" count="11" uniqueCount="11">
  <si>
    <t>T</t>
    <phoneticPr fontId="1" type="noConversion"/>
  </si>
  <si>
    <t>R</t>
    <phoneticPr fontId="1" type="noConversion"/>
  </si>
  <si>
    <t>ENBW</t>
    <phoneticPr fontId="1" type="noConversion"/>
  </si>
  <si>
    <t>NB</t>
    <phoneticPr fontId="1" type="noConversion"/>
  </si>
  <si>
    <t>w</t>
    <phoneticPr fontId="1" type="noConversion"/>
  </si>
  <si>
    <t>R_in</t>
    <phoneticPr fontId="1" type="noConversion"/>
  </si>
  <si>
    <t>C_in</t>
    <phoneticPr fontId="1" type="noConversion"/>
  </si>
  <si>
    <t>u</t>
    <phoneticPr fontId="1" type="noConversion"/>
  </si>
  <si>
    <t>k_B</t>
    <phoneticPr fontId="1" type="noConversion"/>
  </si>
  <si>
    <t>k_B-Theo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</si>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</sst>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="130" zoomScaleNormal="130" workbookViewId="0">
      <selection activeCell="H21" sqref="H21"/>
    </sheetView>
  </sheetViews>
  <sheetFormatPr defaultRowHeight="14.25" x14ac:dyDescent="0.2"/>
  <cols>
    <col min="9" max="9" width="13" bestFit="1" customWidth="1"/>
    <col min="10" max="10" width="9.75" bestFit="1" customWidth="1"/>
    <col min="11" max="11" width="13" bestFit="1" customWidth="1"/>
  </cols>
  <sheetData>
    <row r="1" spans="1:11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299.10000000000002</v>
      </c>
      <c r="B2">
        <v>144500</v>
      </c>
      <c r="C2" s="1">
        <v>5.1584814756484601E-15</v>
      </c>
      <c r="D2">
        <f>3000/320</f>
        <v>9.375</v>
      </c>
      <c r="E2">
        <f>2*3.1415929*6666</f>
        <v>41883.716542800001</v>
      </c>
      <c r="F2">
        <f>B2</f>
        <v>144500</v>
      </c>
      <c r="G2" s="1">
        <v>6.7999999999999998E-11</v>
      </c>
      <c r="H2" s="1">
        <f>3.97069861959812E-14/2</f>
        <v>1.9853493097990599E-14</v>
      </c>
      <c r="I2">
        <f>((H2)*(1+(E2*F2*G2)^2)-C2)/(D2*B2*A2*4)</f>
        <v>1.1141555677928719E-23</v>
      </c>
      <c r="J2">
        <f>1.38E-23</f>
        <v>1.3800000000000001E-23</v>
      </c>
      <c r="K2">
        <f>SQRT(4*J2*A2*B2*D2)</f>
        <v>1.4955374995298516E-7</v>
      </c>
    </row>
    <row r="3" spans="1:11" x14ac:dyDescent="0.2">
      <c r="A3">
        <v>298</v>
      </c>
      <c r="B3">
        <v>144500</v>
      </c>
      <c r="C3">
        <v>5.422869077812756E-16</v>
      </c>
      <c r="D3">
        <f>3000/320</f>
        <v>9.375</v>
      </c>
      <c r="E3">
        <f>2*3.1415929*1145</f>
        <v>7194.2477410000001</v>
      </c>
      <c r="F3">
        <f>B3</f>
        <v>144500</v>
      </c>
      <c r="G3" s="1">
        <v>6.7999999999999998E-11</v>
      </c>
      <c r="H3">
        <v>2.3284053290710909E-14</v>
      </c>
      <c r="I3">
        <f>((H3)*(1+(E3*F3*G3)^2)-C3)/(D3*B3*A3*4)</f>
        <v>1.4155497737043408E-23</v>
      </c>
    </row>
    <row r="4" spans="1:11" x14ac:dyDescent="0.2">
      <c r="A4">
        <v>298.7</v>
      </c>
      <c r="B4">
        <v>144500</v>
      </c>
      <c r="C4">
        <v>2.8392200302455969E-16</v>
      </c>
      <c r="D4">
        <f>3000/320</f>
        <v>9.375</v>
      </c>
      <c r="E4">
        <f>2*3.1415929*11451</f>
        <v>71948.760595800006</v>
      </c>
      <c r="F4">
        <f>B4</f>
        <v>144500</v>
      </c>
      <c r="G4" s="1">
        <v>6.7999999999999998E-11</v>
      </c>
      <c r="I4">
        <f>((H4)*(1+(E4*F4*G4)^2)-C4)/(D4*B4*A4*4)</f>
        <v>-1.7541418613271718E-25</v>
      </c>
    </row>
    <row r="18" spans="3:4" x14ac:dyDescent="0.2">
      <c r="C18">
        <f>6666+66666</f>
        <v>73332</v>
      </c>
      <c r="D18">
        <f>C18/2</f>
        <v>36666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Lab</cp:lastModifiedBy>
  <dcterms:created xsi:type="dcterms:W3CDTF">2024-10-25T07:57:19Z</dcterms:created>
  <dcterms:modified xsi:type="dcterms:W3CDTF">2024-10-25T09:52:35Z</dcterms:modified>
</cp:coreProperties>
</file>